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ena\Downloads\"/>
    </mc:Choice>
  </mc:AlternateContent>
  <xr:revisionPtr revIDLastSave="0" documentId="13_ncr:1_{D2D64F3E-D4DE-4F14-B076-CBF57B105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S36" i="1"/>
  <c r="R36" i="1"/>
  <c r="Q36" i="1"/>
  <c r="L36" i="1"/>
  <c r="S35" i="1"/>
  <c r="R35" i="1"/>
  <c r="Q35" i="1"/>
  <c r="L35" i="1"/>
  <c r="S34" i="1"/>
  <c r="R34" i="1"/>
  <c r="Q34" i="1"/>
  <c r="L34" i="1"/>
  <c r="S33" i="1"/>
  <c r="R33" i="1"/>
  <c r="Q33" i="1"/>
  <c r="L33" i="1"/>
  <c r="S32" i="1"/>
  <c r="R32" i="1"/>
  <c r="Q32" i="1"/>
  <c r="L32" i="1"/>
  <c r="S31" i="1"/>
  <c r="R31" i="1"/>
  <c r="Q31" i="1"/>
  <c r="L31" i="1"/>
  <c r="S30" i="1"/>
  <c r="R30" i="1"/>
  <c r="Q30" i="1"/>
  <c r="L30" i="1"/>
  <c r="S29" i="1"/>
  <c r="R29" i="1"/>
  <c r="Q29" i="1"/>
  <c r="L29" i="1"/>
  <c r="S28" i="1"/>
  <c r="R28" i="1"/>
  <c r="Q28" i="1"/>
  <c r="L28" i="1"/>
  <c r="S27" i="1"/>
  <c r="R27" i="1"/>
  <c r="Q27" i="1"/>
  <c r="L27" i="1"/>
  <c r="S26" i="1"/>
  <c r="R26" i="1"/>
  <c r="Q26" i="1"/>
  <c r="L26" i="1"/>
  <c r="S25" i="1"/>
  <c r="R25" i="1"/>
  <c r="Q25" i="1"/>
  <c r="L25" i="1"/>
  <c r="S24" i="1"/>
  <c r="R24" i="1"/>
  <c r="Q24" i="1"/>
  <c r="L24" i="1"/>
  <c r="S23" i="1"/>
  <c r="R23" i="1"/>
  <c r="Q23" i="1"/>
  <c r="L23" i="1"/>
  <c r="S22" i="1"/>
  <c r="R22" i="1"/>
  <c r="Q22" i="1"/>
  <c r="L22" i="1"/>
  <c r="S21" i="1"/>
  <c r="R21" i="1"/>
  <c r="Q21" i="1"/>
  <c r="L21" i="1"/>
  <c r="S20" i="1"/>
  <c r="R20" i="1"/>
  <c r="Q20" i="1"/>
  <c r="L20" i="1"/>
  <c r="S19" i="1"/>
  <c r="R19" i="1"/>
  <c r="Q19" i="1"/>
  <c r="L19" i="1"/>
  <c r="S18" i="1"/>
  <c r="R18" i="1"/>
  <c r="Q18" i="1"/>
  <c r="L18" i="1"/>
  <c r="S17" i="1"/>
  <c r="R17" i="1"/>
  <c r="Q17" i="1"/>
  <c r="L17" i="1"/>
  <c r="S16" i="1"/>
  <c r="R16" i="1"/>
  <c r="Q16" i="1"/>
  <c r="L16" i="1"/>
  <c r="S15" i="1"/>
  <c r="R15" i="1"/>
  <c r="Q15" i="1"/>
  <c r="L15" i="1"/>
  <c r="S14" i="1"/>
  <c r="R14" i="1"/>
  <c r="Q14" i="1"/>
  <c r="L14" i="1"/>
  <c r="S13" i="1"/>
  <c r="R13" i="1"/>
  <c r="Q13" i="1"/>
  <c r="L13" i="1"/>
  <c r="S12" i="1"/>
  <c r="R12" i="1"/>
  <c r="Q12" i="1"/>
  <c r="L12" i="1"/>
  <c r="S11" i="1"/>
  <c r="R11" i="1"/>
  <c r="Q11" i="1"/>
  <c r="L11" i="1"/>
  <c r="S10" i="1"/>
  <c r="R10" i="1"/>
  <c r="Q10" i="1"/>
  <c r="L10" i="1"/>
  <c r="S9" i="1"/>
  <c r="R9" i="1"/>
  <c r="Q9" i="1"/>
  <c r="L9" i="1"/>
  <c r="S8" i="1"/>
  <c r="R8" i="1"/>
  <c r="Q8" i="1"/>
  <c r="L8" i="1"/>
  <c r="J8" i="1"/>
  <c r="H8" i="1"/>
  <c r="S7" i="1"/>
  <c r="R7" i="1"/>
  <c r="Q7" i="1"/>
  <c r="L7" i="1"/>
  <c r="S6" i="1"/>
  <c r="R6" i="1"/>
  <c r="Q6" i="1"/>
  <c r="L6" i="1"/>
  <c r="S5" i="1"/>
  <c r="R5" i="1"/>
  <c r="Q5" i="1"/>
  <c r="L5" i="1"/>
  <c r="S4" i="1"/>
  <c r="R4" i="1"/>
  <c r="Q4" i="1"/>
  <c r="L4" i="1"/>
  <c r="S3" i="1"/>
  <c r="R3" i="1"/>
  <c r="Q3" i="1"/>
  <c r="O3" i="1"/>
  <c r="N3" i="1"/>
  <c r="L3" i="1"/>
  <c r="H3" i="1"/>
</calcChain>
</file>

<file path=xl/sharedStrings.xml><?xml version="1.0" encoding="utf-8"?>
<sst xmlns="http://schemas.openxmlformats.org/spreadsheetml/2006/main" count="158" uniqueCount="109">
  <si>
    <t>Sum, Count And Average</t>
  </si>
  <si>
    <t>IF Function</t>
  </si>
  <si>
    <t>SUMIF &amp;  COUNTIF</t>
  </si>
  <si>
    <t>TEXT FORMATTING</t>
  </si>
  <si>
    <t>Product ID</t>
  </si>
  <si>
    <t>Product Name</t>
  </si>
  <si>
    <t>Brand Name</t>
  </si>
  <si>
    <t>Price ($)</t>
  </si>
  <si>
    <t>Quantity</t>
  </si>
  <si>
    <t>Category</t>
  </si>
  <si>
    <t>Total Price Of All Products</t>
  </si>
  <si>
    <t>Number Of Products</t>
  </si>
  <si>
    <t>Average Of All Products</t>
  </si>
  <si>
    <t>Price Range</t>
  </si>
  <si>
    <t>Total Price Of Electronics Products</t>
  </si>
  <si>
    <t>Count Of Products Less Than 100</t>
  </si>
  <si>
    <t>Day  With First Two Characters of Product  ID</t>
  </si>
  <si>
    <t>Last 2 Characters of Product ID</t>
  </si>
  <si>
    <t>4th - 6tH Charecters OF product ID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</si>
  <si>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</si>
  <si>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</si>
  <si>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</si>
  <si>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</si>
  <si>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</si>
  <si>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</si>
  <si>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</si>
  <si>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</si>
  <si>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</si>
  <si>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</si>
  <si>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</si>
  <si>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</si>
  <si>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</si>
  <si>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</si>
  <si>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</si>
  <si>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Minimum And Maximum</t>
  </si>
  <si>
    <t>22-MAY-US</t>
  </si>
  <si>
    <t>Backpack</t>
  </si>
  <si>
    <t>North Face</t>
  </si>
  <si>
    <t>Outdoor</t>
  </si>
  <si>
    <t>Minimum Price Of Products</t>
  </si>
  <si>
    <t>Maximum Price Of Products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</si>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</sst>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9" xfId="0" applyFont="1" applyBorder="1"/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0" xfId="0" applyFont="1" applyFill="1"/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4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36"/>
  <sheetViews>
    <sheetView tabSelected="1" topLeftCell="N1" workbookViewId="0">
      <selection activeCell="S3" sqref="S3"/>
    </sheetView>
  </sheetViews>
  <sheetFormatPr defaultColWidth="12.6640625" defaultRowHeight="15.75" customHeight="1" x14ac:dyDescent="0.25"/>
  <cols>
    <col min="8" max="8" width="20.33203125" customWidth="1"/>
    <col min="9" max="9" width="16.109375" customWidth="1"/>
    <col min="10" max="10" width="33.44140625" customWidth="1"/>
    <col min="11" max="11" width="21.77734375" customWidth="1"/>
    <col min="13" max="13" width="4.6640625" customWidth="1"/>
    <col min="14" max="14" width="30" bestFit="1" customWidth="1"/>
    <col min="15" max="15" width="28.88671875" bestFit="1" customWidth="1"/>
    <col min="16" max="16" width="9.21875" customWidth="1"/>
    <col min="17" max="17" width="39.44140625" bestFit="1" customWidth="1"/>
    <col min="18" max="18" width="27.33203125" bestFit="1" customWidth="1"/>
    <col min="19" max="19" width="30.109375" bestFit="1" customWidth="1"/>
  </cols>
  <sheetData>
    <row r="1" spans="1:29" x14ac:dyDescent="0.25">
      <c r="A1" s="1"/>
      <c r="B1" s="1"/>
      <c r="C1" s="1"/>
      <c r="D1" s="1"/>
      <c r="E1" s="1"/>
      <c r="F1" s="1"/>
      <c r="G1" s="2"/>
      <c r="H1" s="20" t="s">
        <v>0</v>
      </c>
      <c r="I1" s="21"/>
      <c r="J1" s="22"/>
      <c r="K1" s="3"/>
      <c r="L1" s="23" t="s">
        <v>1</v>
      </c>
      <c r="M1" s="4"/>
      <c r="N1" s="20" t="s">
        <v>2</v>
      </c>
      <c r="O1" s="22"/>
      <c r="P1" s="4"/>
      <c r="Q1" s="20" t="s">
        <v>3</v>
      </c>
      <c r="R1" s="21"/>
      <c r="S1" s="2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/>
      <c r="H2" s="5" t="s">
        <v>10</v>
      </c>
      <c r="I2" s="2" t="s">
        <v>11</v>
      </c>
      <c r="J2" s="6" t="s">
        <v>12</v>
      </c>
      <c r="K2" s="6"/>
      <c r="L2" s="7" t="s">
        <v>13</v>
      </c>
      <c r="M2" s="2"/>
      <c r="N2" s="5" t="s">
        <v>14</v>
      </c>
      <c r="O2" s="6" t="s">
        <v>15</v>
      </c>
      <c r="P2" s="2"/>
      <c r="Q2" s="5" t="s">
        <v>16</v>
      </c>
      <c r="R2" s="24" t="s">
        <v>17</v>
      </c>
      <c r="S2" s="6" t="s">
        <v>18</v>
      </c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2" t="s">
        <v>19</v>
      </c>
      <c r="B3" s="2" t="s">
        <v>20</v>
      </c>
      <c r="C3" s="2" t="s">
        <v>21</v>
      </c>
      <c r="D3" s="8">
        <v>1000</v>
      </c>
      <c r="E3" s="8">
        <v>30</v>
      </c>
      <c r="F3" s="2" t="s">
        <v>22</v>
      </c>
      <c r="G3" s="2"/>
      <c r="H3" s="10">
        <f>SUM(D3:D36)</f>
        <v>10100</v>
      </c>
      <c r="I3" s="19">
        <f>COUNTA(A3:A36)</f>
        <v>34</v>
      </c>
      <c r="J3" s="11">
        <f>AVERAGE(D3:D36)</f>
        <v>297.05882352941177</v>
      </c>
      <c r="K3" s="6"/>
      <c r="L3" s="7" t="str">
        <f t="shared" ref="L3:L36" si="0">IF(D3&gt;=500,"Higher Price","Standard Price")</f>
        <v>Higher Price</v>
      </c>
      <c r="M3" s="2"/>
      <c r="N3" s="10">
        <f>SUMIF(F3:F36,"Electronics",D3:D36)</f>
        <v>8050</v>
      </c>
      <c r="O3" s="11">
        <f>COUNTIF(D3:D36,"&lt;100")</f>
        <v>11</v>
      </c>
      <c r="P3" s="2"/>
      <c r="Q3" s="12" t="str">
        <f t="shared" ref="Q3:Q36" si="1">LEFT(A3,2)</f>
        <v>28</v>
      </c>
      <c r="R3" s="13" t="str">
        <f t="shared" ref="R3:R36" si="2">RIGHT(A3,2)</f>
        <v>US</v>
      </c>
      <c r="S3" s="14" t="str">
        <f t="shared" ref="S3:S36" si="3">MID(A3,4,3)</f>
        <v>JAN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15" t="s">
        <v>23</v>
      </c>
      <c r="B4" s="15" t="s">
        <v>24</v>
      </c>
      <c r="C4" s="15" t="s">
        <v>25</v>
      </c>
      <c r="D4" s="16">
        <v>80</v>
      </c>
      <c r="E4" s="16">
        <v>15</v>
      </c>
      <c r="F4" s="15" t="s">
        <v>26</v>
      </c>
      <c r="G4" s="2"/>
      <c r="H4" s="2"/>
      <c r="I4" s="2"/>
      <c r="J4" s="2"/>
      <c r="K4" s="2"/>
      <c r="L4" s="7" t="str">
        <f t="shared" si="0"/>
        <v>Standard Price</v>
      </c>
      <c r="M4" s="2"/>
      <c r="N4" s="2"/>
      <c r="O4" s="2"/>
      <c r="P4" s="2"/>
      <c r="Q4" s="12" t="str">
        <f t="shared" si="1"/>
        <v>15</v>
      </c>
      <c r="R4" s="13" t="str">
        <f t="shared" si="2"/>
        <v>US</v>
      </c>
      <c r="S4" s="14" t="str">
        <f t="shared" si="3"/>
        <v>FEB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2" t="s">
        <v>27</v>
      </c>
      <c r="B5" s="2" t="s">
        <v>28</v>
      </c>
      <c r="C5" s="2" t="s">
        <v>29</v>
      </c>
      <c r="D5" s="8">
        <v>130</v>
      </c>
      <c r="E5" s="8">
        <v>40</v>
      </c>
      <c r="F5" s="2" t="s">
        <v>30</v>
      </c>
      <c r="G5" s="2"/>
      <c r="H5" s="2"/>
      <c r="I5" s="2"/>
      <c r="J5" s="2"/>
      <c r="K5" s="2"/>
      <c r="L5" s="7" t="str">
        <f t="shared" si="0"/>
        <v>Standard Price</v>
      </c>
      <c r="M5" s="2"/>
      <c r="N5" s="2"/>
      <c r="O5" s="2"/>
      <c r="P5" s="2"/>
      <c r="Q5" s="12" t="str">
        <f t="shared" si="1"/>
        <v>03</v>
      </c>
      <c r="R5" s="13" t="str">
        <f t="shared" si="2"/>
        <v>US</v>
      </c>
      <c r="S5" s="14" t="str">
        <f t="shared" si="3"/>
        <v>MAR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15" t="s">
        <v>31</v>
      </c>
      <c r="B6" s="15" t="s">
        <v>32</v>
      </c>
      <c r="C6" s="15" t="s">
        <v>33</v>
      </c>
      <c r="D6" s="16">
        <v>900</v>
      </c>
      <c r="E6" s="16">
        <v>25</v>
      </c>
      <c r="F6" s="15" t="s">
        <v>22</v>
      </c>
      <c r="G6" s="2"/>
      <c r="H6" s="20" t="s">
        <v>34</v>
      </c>
      <c r="I6" s="21"/>
      <c r="J6" s="22"/>
      <c r="K6" s="7"/>
      <c r="L6" s="7" t="str">
        <f t="shared" si="0"/>
        <v>Higher Price</v>
      </c>
      <c r="M6" s="2"/>
      <c r="N6" s="2"/>
      <c r="O6" s="2"/>
      <c r="P6" s="2"/>
      <c r="Q6" s="12" t="str">
        <f t="shared" si="1"/>
        <v>11</v>
      </c>
      <c r="R6" s="13" t="str">
        <f t="shared" si="2"/>
        <v>US</v>
      </c>
      <c r="S6" s="14" t="str">
        <f t="shared" si="3"/>
        <v>APR</v>
      </c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5">
      <c r="A7" s="2" t="s">
        <v>35</v>
      </c>
      <c r="B7" s="2" t="s">
        <v>36</v>
      </c>
      <c r="C7" s="2" t="s">
        <v>37</v>
      </c>
      <c r="D7" s="8">
        <v>70</v>
      </c>
      <c r="E7" s="8">
        <v>20</v>
      </c>
      <c r="F7" s="2" t="s">
        <v>38</v>
      </c>
      <c r="G7" s="2"/>
      <c r="H7" s="5" t="s">
        <v>39</v>
      </c>
      <c r="I7" s="2"/>
      <c r="J7" s="6" t="s">
        <v>40</v>
      </c>
      <c r="K7" s="6"/>
      <c r="L7" s="7" t="str">
        <f t="shared" si="0"/>
        <v>Standard Price</v>
      </c>
      <c r="M7" s="2"/>
      <c r="N7" s="2"/>
      <c r="O7" s="2"/>
      <c r="P7" s="2"/>
      <c r="Q7" s="12" t="str">
        <f t="shared" si="1"/>
        <v>22</v>
      </c>
      <c r="R7" s="13" t="str">
        <f t="shared" si="2"/>
        <v>US</v>
      </c>
      <c r="S7" s="14" t="str">
        <f t="shared" si="3"/>
        <v>MAY</v>
      </c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15" t="s">
        <v>41</v>
      </c>
      <c r="B8" s="15" t="s">
        <v>42</v>
      </c>
      <c r="C8" s="15" t="s">
        <v>43</v>
      </c>
      <c r="D8" s="16">
        <v>200</v>
      </c>
      <c r="E8" s="16">
        <v>45</v>
      </c>
      <c r="F8" s="15" t="s">
        <v>22</v>
      </c>
      <c r="G8" s="2"/>
      <c r="H8" s="10">
        <f>MIN(D3:D36)</f>
        <v>30</v>
      </c>
      <c r="I8" s="9"/>
      <c r="J8" s="11">
        <f>MAX(D3:D36)</f>
        <v>1000</v>
      </c>
      <c r="K8" s="6"/>
      <c r="L8" s="7" t="str">
        <f t="shared" si="0"/>
        <v>Standard Price</v>
      </c>
      <c r="M8" s="2"/>
      <c r="N8" s="2"/>
      <c r="O8" s="2"/>
      <c r="P8" s="2"/>
      <c r="Q8" s="12" t="str">
        <f t="shared" si="1"/>
        <v>07</v>
      </c>
      <c r="R8" s="13" t="str">
        <f t="shared" si="2"/>
        <v>UK</v>
      </c>
      <c r="S8" s="14" t="str">
        <f t="shared" si="3"/>
        <v>JUN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A9" s="2" t="s">
        <v>44</v>
      </c>
      <c r="B9" s="2" t="s">
        <v>45</v>
      </c>
      <c r="C9" s="2" t="s">
        <v>46</v>
      </c>
      <c r="D9" s="8">
        <v>30</v>
      </c>
      <c r="E9" s="8">
        <v>5</v>
      </c>
      <c r="F9" s="2" t="s">
        <v>26</v>
      </c>
      <c r="G9" s="2"/>
      <c r="H9" s="2"/>
      <c r="I9" s="2"/>
      <c r="J9" s="2"/>
      <c r="K9" s="2"/>
      <c r="L9" s="7" t="str">
        <f t="shared" si="0"/>
        <v>Standard Price</v>
      </c>
      <c r="M9" s="2"/>
      <c r="N9" s="2"/>
      <c r="O9" s="2"/>
      <c r="P9" s="2"/>
      <c r="Q9" s="12" t="str">
        <f t="shared" si="1"/>
        <v>19</v>
      </c>
      <c r="R9" s="13" t="str">
        <f t="shared" si="2"/>
        <v>UK</v>
      </c>
      <c r="S9" s="14" t="str">
        <f t="shared" si="3"/>
        <v>JUL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15" t="s">
        <v>47</v>
      </c>
      <c r="B10" s="15" t="s">
        <v>48</v>
      </c>
      <c r="C10" s="15" t="s">
        <v>49</v>
      </c>
      <c r="D10" s="16">
        <v>90</v>
      </c>
      <c r="E10" s="16">
        <v>35</v>
      </c>
      <c r="F10" s="15" t="s">
        <v>30</v>
      </c>
      <c r="G10" s="2"/>
      <c r="H10" s="2"/>
      <c r="I10" s="2"/>
      <c r="J10" s="2"/>
      <c r="K10" s="2"/>
      <c r="L10" s="7" t="str">
        <f t="shared" si="0"/>
        <v>Standard Price</v>
      </c>
      <c r="M10" s="2"/>
      <c r="N10" s="2"/>
      <c r="O10" s="2"/>
      <c r="P10" s="2"/>
      <c r="Q10" s="12" t="str">
        <f t="shared" si="1"/>
        <v>23</v>
      </c>
      <c r="R10" s="13" t="str">
        <f t="shared" si="2"/>
        <v>UK</v>
      </c>
      <c r="S10" s="14" t="str">
        <f t="shared" si="3"/>
        <v>AUG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2" t="s">
        <v>50</v>
      </c>
      <c r="B11" s="2" t="s">
        <v>51</v>
      </c>
      <c r="C11" s="2" t="s">
        <v>52</v>
      </c>
      <c r="D11" s="8">
        <v>500</v>
      </c>
      <c r="E11" s="8">
        <v>50</v>
      </c>
      <c r="F11" s="2" t="s">
        <v>22</v>
      </c>
      <c r="G11" s="2"/>
      <c r="H11" s="2"/>
      <c r="I11" s="2"/>
      <c r="J11" s="2"/>
      <c r="K11" s="2"/>
      <c r="L11" s="7" t="str">
        <f t="shared" si="0"/>
        <v>Higher Price</v>
      </c>
      <c r="M11" s="2"/>
      <c r="N11" s="2"/>
      <c r="O11" s="2"/>
      <c r="P11" s="2"/>
      <c r="Q11" s="12" t="str">
        <f t="shared" si="1"/>
        <v>05</v>
      </c>
      <c r="R11" s="13" t="str">
        <f t="shared" si="2"/>
        <v>UK</v>
      </c>
      <c r="S11" s="14" t="str">
        <f t="shared" si="3"/>
        <v>SEP</v>
      </c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15" t="s">
        <v>53</v>
      </c>
      <c r="B12" s="15" t="s">
        <v>54</v>
      </c>
      <c r="C12" s="15" t="s">
        <v>55</v>
      </c>
      <c r="D12" s="16">
        <v>130</v>
      </c>
      <c r="E12" s="16">
        <v>10</v>
      </c>
      <c r="F12" s="15" t="s">
        <v>38</v>
      </c>
      <c r="G12" s="2"/>
      <c r="H12" s="2"/>
      <c r="I12" s="2"/>
      <c r="J12" s="2"/>
      <c r="K12" s="2"/>
      <c r="L12" s="7" t="str">
        <f t="shared" si="0"/>
        <v>Standard Price</v>
      </c>
      <c r="M12" s="2"/>
      <c r="N12" s="2"/>
      <c r="O12" s="2"/>
      <c r="P12" s="2"/>
      <c r="Q12" s="12" t="str">
        <f t="shared" si="1"/>
        <v>14</v>
      </c>
      <c r="R12" s="13" t="str">
        <f t="shared" si="2"/>
        <v>UK</v>
      </c>
      <c r="S12" s="14" t="str">
        <f t="shared" si="3"/>
        <v>OCT</v>
      </c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2" t="s">
        <v>56</v>
      </c>
      <c r="B13" s="2" t="s">
        <v>20</v>
      </c>
      <c r="C13" s="2" t="s">
        <v>57</v>
      </c>
      <c r="D13" s="8">
        <v>950</v>
      </c>
      <c r="E13" s="8">
        <v>25</v>
      </c>
      <c r="F13" s="2" t="s">
        <v>22</v>
      </c>
      <c r="G13" s="2"/>
      <c r="H13" s="2"/>
      <c r="I13" s="2"/>
      <c r="J13" s="2"/>
      <c r="K13" s="2"/>
      <c r="L13" s="7" t="str">
        <f t="shared" si="0"/>
        <v>Higher Price</v>
      </c>
      <c r="M13" s="2"/>
      <c r="N13" s="2"/>
      <c r="O13" s="2"/>
      <c r="P13" s="2"/>
      <c r="Q13" s="12" t="str">
        <f t="shared" si="1"/>
        <v>17</v>
      </c>
      <c r="R13" s="13" t="str">
        <f t="shared" si="2"/>
        <v>IN</v>
      </c>
      <c r="S13" s="14" t="str">
        <f t="shared" si="3"/>
        <v>JUN</v>
      </c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15" t="s">
        <v>58</v>
      </c>
      <c r="B14" s="15" t="s">
        <v>24</v>
      </c>
      <c r="C14" s="15" t="s">
        <v>46</v>
      </c>
      <c r="D14" s="16">
        <v>90</v>
      </c>
      <c r="E14" s="16">
        <v>40</v>
      </c>
      <c r="F14" s="15" t="s">
        <v>26</v>
      </c>
      <c r="G14" s="2"/>
      <c r="H14" s="2"/>
      <c r="I14" s="2"/>
      <c r="J14" s="2"/>
      <c r="K14" s="2"/>
      <c r="L14" s="7" t="str">
        <f t="shared" si="0"/>
        <v>Standard Price</v>
      </c>
      <c r="M14" s="2"/>
      <c r="N14" s="2"/>
      <c r="O14" s="2"/>
      <c r="P14" s="2"/>
      <c r="Q14" s="12" t="str">
        <f t="shared" si="1"/>
        <v>25</v>
      </c>
      <c r="R14" s="13" t="str">
        <f t="shared" si="2"/>
        <v>AU</v>
      </c>
      <c r="S14" s="14" t="str">
        <f t="shared" si="3"/>
        <v>NOV</v>
      </c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2" t="s">
        <v>59</v>
      </c>
      <c r="B15" s="2" t="s">
        <v>28</v>
      </c>
      <c r="C15" s="2" t="s">
        <v>60</v>
      </c>
      <c r="D15" s="8">
        <v>120</v>
      </c>
      <c r="E15" s="8">
        <v>35</v>
      </c>
      <c r="F15" s="2" t="s">
        <v>30</v>
      </c>
      <c r="G15" s="2"/>
      <c r="H15" s="2"/>
      <c r="I15" s="2"/>
      <c r="J15" s="2"/>
      <c r="K15" s="2"/>
      <c r="L15" s="7" t="str">
        <f t="shared" si="0"/>
        <v>Standard Price</v>
      </c>
      <c r="M15" s="2"/>
      <c r="N15" s="2"/>
      <c r="O15" s="2"/>
      <c r="P15" s="2"/>
      <c r="Q15" s="12" t="str">
        <f t="shared" si="1"/>
        <v>08</v>
      </c>
      <c r="R15" s="13" t="str">
        <f t="shared" si="2"/>
        <v>DE</v>
      </c>
      <c r="S15" s="14" t="str">
        <f t="shared" si="3"/>
        <v>DEC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15" t="s">
        <v>61</v>
      </c>
      <c r="B16" s="15" t="s">
        <v>62</v>
      </c>
      <c r="C16" s="15" t="s">
        <v>63</v>
      </c>
      <c r="D16" s="16">
        <v>150</v>
      </c>
      <c r="E16" s="16">
        <v>15</v>
      </c>
      <c r="F16" s="15" t="s">
        <v>22</v>
      </c>
      <c r="G16" s="2"/>
      <c r="H16" s="2"/>
      <c r="I16" s="2"/>
      <c r="J16" s="2"/>
      <c r="K16" s="2"/>
      <c r="L16" s="7" t="str">
        <f t="shared" si="0"/>
        <v>Standard Price</v>
      </c>
      <c r="M16" s="2"/>
      <c r="N16" s="2"/>
      <c r="O16" s="2"/>
      <c r="P16" s="2"/>
      <c r="Q16" s="12" t="str">
        <f t="shared" si="1"/>
        <v>18</v>
      </c>
      <c r="R16" s="13" t="str">
        <f t="shared" si="2"/>
        <v>CA</v>
      </c>
      <c r="S16" s="14" t="str">
        <f t="shared" si="3"/>
        <v>FEB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5">
      <c r="A17" s="2" t="s">
        <v>64</v>
      </c>
      <c r="B17" s="2" t="s">
        <v>42</v>
      </c>
      <c r="C17" s="2" t="s">
        <v>65</v>
      </c>
      <c r="D17" s="8">
        <v>250</v>
      </c>
      <c r="E17" s="8">
        <v>20</v>
      </c>
      <c r="F17" s="2" t="s">
        <v>22</v>
      </c>
      <c r="G17" s="2"/>
      <c r="H17" s="2"/>
      <c r="I17" s="2"/>
      <c r="J17" s="2"/>
      <c r="K17" s="2"/>
      <c r="L17" s="7" t="str">
        <f t="shared" si="0"/>
        <v>Standard Price</v>
      </c>
      <c r="M17" s="2"/>
      <c r="N17" s="2"/>
      <c r="O17" s="2"/>
      <c r="P17" s="2"/>
      <c r="Q17" s="12" t="str">
        <f t="shared" si="1"/>
        <v>16</v>
      </c>
      <c r="R17" s="13" t="str">
        <f t="shared" si="2"/>
        <v>ES</v>
      </c>
      <c r="S17" s="14" t="str">
        <f t="shared" si="3"/>
        <v>APR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A18" s="15" t="s">
        <v>66</v>
      </c>
      <c r="B18" s="15" t="s">
        <v>67</v>
      </c>
      <c r="C18" s="15" t="s">
        <v>68</v>
      </c>
      <c r="D18" s="16">
        <v>50</v>
      </c>
      <c r="E18" s="16">
        <v>35</v>
      </c>
      <c r="F18" s="15" t="s">
        <v>69</v>
      </c>
      <c r="G18" s="2"/>
      <c r="H18" s="2"/>
      <c r="I18" s="2"/>
      <c r="J18" s="2"/>
      <c r="K18" s="2"/>
      <c r="L18" s="7" t="str">
        <f t="shared" si="0"/>
        <v>Standard Price</v>
      </c>
      <c r="M18" s="2"/>
      <c r="N18" s="2"/>
      <c r="O18" s="2"/>
      <c r="P18" s="2"/>
      <c r="Q18" s="12" t="str">
        <f t="shared" si="1"/>
        <v>21</v>
      </c>
      <c r="R18" s="13" t="str">
        <f t="shared" si="2"/>
        <v>CA</v>
      </c>
      <c r="S18" s="14" t="str">
        <f t="shared" si="3"/>
        <v>AUG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2" t="s">
        <v>70</v>
      </c>
      <c r="B19" s="2" t="s">
        <v>62</v>
      </c>
      <c r="C19" s="2" t="s">
        <v>71</v>
      </c>
      <c r="D19" s="8">
        <v>160</v>
      </c>
      <c r="E19" s="8">
        <v>15</v>
      </c>
      <c r="F19" s="2" t="s">
        <v>22</v>
      </c>
      <c r="G19" s="2"/>
      <c r="H19" s="2"/>
      <c r="I19" s="2"/>
      <c r="J19" s="2"/>
      <c r="K19" s="2"/>
      <c r="L19" s="7" t="str">
        <f t="shared" si="0"/>
        <v>Standard Price</v>
      </c>
      <c r="M19" s="2"/>
      <c r="N19" s="2"/>
      <c r="O19" s="2"/>
      <c r="P19" s="2"/>
      <c r="Q19" s="12" t="str">
        <f t="shared" si="1"/>
        <v>20</v>
      </c>
      <c r="R19" s="13" t="str">
        <f t="shared" si="2"/>
        <v>CN</v>
      </c>
      <c r="S19" s="14" t="str">
        <f t="shared" si="3"/>
        <v>AUG</v>
      </c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15" t="s">
        <v>72</v>
      </c>
      <c r="B20" s="15" t="s">
        <v>20</v>
      </c>
      <c r="C20" s="15" t="s">
        <v>73</v>
      </c>
      <c r="D20" s="16">
        <v>980</v>
      </c>
      <c r="E20" s="16">
        <v>10</v>
      </c>
      <c r="F20" s="15" t="s">
        <v>22</v>
      </c>
      <c r="G20" s="2"/>
      <c r="H20" s="2"/>
      <c r="I20" s="2"/>
      <c r="J20" s="2"/>
      <c r="K20" s="2"/>
      <c r="L20" s="7" t="str">
        <f t="shared" si="0"/>
        <v>Higher Price</v>
      </c>
      <c r="M20" s="2"/>
      <c r="N20" s="2"/>
      <c r="O20" s="2"/>
      <c r="P20" s="2"/>
      <c r="Q20" s="12" t="str">
        <f t="shared" si="1"/>
        <v>27</v>
      </c>
      <c r="R20" s="13" t="str">
        <f t="shared" si="2"/>
        <v>IT</v>
      </c>
      <c r="S20" s="14" t="str">
        <f t="shared" si="3"/>
        <v>JAN</v>
      </c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2" t="s">
        <v>74</v>
      </c>
      <c r="B21" s="2" t="s">
        <v>75</v>
      </c>
      <c r="C21" s="2" t="s">
        <v>76</v>
      </c>
      <c r="D21" s="8">
        <v>150</v>
      </c>
      <c r="E21" s="8">
        <v>15</v>
      </c>
      <c r="F21" s="2" t="s">
        <v>26</v>
      </c>
      <c r="G21" s="2"/>
      <c r="H21" s="2"/>
      <c r="I21" s="2"/>
      <c r="J21" s="2"/>
      <c r="K21" s="2"/>
      <c r="L21" s="7" t="str">
        <f t="shared" si="0"/>
        <v>Standard Price</v>
      </c>
      <c r="M21" s="2"/>
      <c r="N21" s="2"/>
      <c r="O21" s="2"/>
      <c r="P21" s="2"/>
      <c r="Q21" s="12" t="str">
        <f t="shared" si="1"/>
        <v>01</v>
      </c>
      <c r="R21" s="13" t="str">
        <f t="shared" si="2"/>
        <v>UK</v>
      </c>
      <c r="S21" s="14" t="str">
        <f t="shared" si="3"/>
        <v>MAR</v>
      </c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5">
      <c r="A22" s="15" t="s">
        <v>77</v>
      </c>
      <c r="B22" s="15" t="s">
        <v>78</v>
      </c>
      <c r="C22" s="15" t="s">
        <v>79</v>
      </c>
      <c r="D22" s="16">
        <v>200</v>
      </c>
      <c r="E22" s="16">
        <v>10</v>
      </c>
      <c r="F22" s="15" t="s">
        <v>38</v>
      </c>
      <c r="G22" s="2"/>
      <c r="H22" s="2"/>
      <c r="I22" s="2"/>
      <c r="J22" s="2"/>
      <c r="K22" s="2"/>
      <c r="L22" s="7" t="str">
        <f t="shared" si="0"/>
        <v>Standard Price</v>
      </c>
      <c r="M22" s="2"/>
      <c r="N22" s="2"/>
      <c r="O22" s="2"/>
      <c r="P22" s="2"/>
      <c r="Q22" s="12" t="str">
        <f t="shared" si="1"/>
        <v>14</v>
      </c>
      <c r="R22" s="13" t="str">
        <f t="shared" si="2"/>
        <v>US</v>
      </c>
      <c r="S22" s="14" t="str">
        <f t="shared" si="3"/>
        <v>AUG</v>
      </c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5">
      <c r="A23" s="2" t="s">
        <v>80</v>
      </c>
      <c r="B23" s="2" t="s">
        <v>81</v>
      </c>
      <c r="C23" s="2" t="s">
        <v>82</v>
      </c>
      <c r="D23" s="8">
        <v>700</v>
      </c>
      <c r="E23" s="8">
        <v>50</v>
      </c>
      <c r="F23" s="2" t="s">
        <v>22</v>
      </c>
      <c r="G23" s="2"/>
      <c r="H23" s="2"/>
      <c r="I23" s="2"/>
      <c r="J23" s="2"/>
      <c r="K23" s="2"/>
      <c r="L23" s="7" t="str">
        <f t="shared" si="0"/>
        <v>Higher Price</v>
      </c>
      <c r="M23" s="2"/>
      <c r="N23" s="2"/>
      <c r="O23" s="2"/>
      <c r="P23" s="2"/>
      <c r="Q23" s="12" t="str">
        <f t="shared" si="1"/>
        <v>14</v>
      </c>
      <c r="R23" s="13" t="str">
        <f t="shared" si="2"/>
        <v>RU</v>
      </c>
      <c r="S23" s="14" t="str">
        <f t="shared" si="3"/>
        <v>MAY</v>
      </c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5">
      <c r="A24" s="15" t="s">
        <v>83</v>
      </c>
      <c r="B24" s="15" t="s">
        <v>84</v>
      </c>
      <c r="C24" s="15" t="s">
        <v>85</v>
      </c>
      <c r="D24" s="16">
        <v>80</v>
      </c>
      <c r="E24" s="16">
        <v>20</v>
      </c>
      <c r="F24" s="15" t="s">
        <v>30</v>
      </c>
      <c r="G24" s="2"/>
      <c r="H24" s="2"/>
      <c r="I24" s="2"/>
      <c r="J24" s="2"/>
      <c r="K24" s="2"/>
      <c r="L24" s="7" t="str">
        <f t="shared" si="0"/>
        <v>Standard Price</v>
      </c>
      <c r="M24" s="2"/>
      <c r="N24" s="2"/>
      <c r="O24" s="2"/>
      <c r="P24" s="2"/>
      <c r="Q24" s="12" t="str">
        <f t="shared" si="1"/>
        <v>09</v>
      </c>
      <c r="R24" s="13" t="str">
        <f t="shared" si="2"/>
        <v>CA</v>
      </c>
      <c r="S24" s="14" t="str">
        <f t="shared" si="3"/>
        <v>JAN</v>
      </c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5">
      <c r="A25" s="2" t="s">
        <v>86</v>
      </c>
      <c r="B25" s="2" t="s">
        <v>87</v>
      </c>
      <c r="C25" s="2" t="s">
        <v>88</v>
      </c>
      <c r="D25" s="8">
        <v>150</v>
      </c>
      <c r="E25" s="8">
        <v>30</v>
      </c>
      <c r="F25" s="2" t="s">
        <v>22</v>
      </c>
      <c r="G25" s="2"/>
      <c r="H25" s="2"/>
      <c r="I25" s="2"/>
      <c r="J25" s="2"/>
      <c r="K25" s="2"/>
      <c r="L25" s="7" t="str">
        <f t="shared" si="0"/>
        <v>Standard Price</v>
      </c>
      <c r="M25" s="2"/>
      <c r="N25" s="2"/>
      <c r="O25" s="2"/>
      <c r="P25" s="2"/>
      <c r="Q25" s="12" t="str">
        <f t="shared" si="1"/>
        <v>19</v>
      </c>
      <c r="R25" s="13" t="str">
        <f t="shared" si="2"/>
        <v>BR</v>
      </c>
      <c r="S25" s="14" t="str">
        <f t="shared" si="3"/>
        <v>JUL</v>
      </c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5">
      <c r="A26" s="15" t="s">
        <v>66</v>
      </c>
      <c r="B26" s="15" t="s">
        <v>67</v>
      </c>
      <c r="C26" s="15" t="s">
        <v>68</v>
      </c>
      <c r="D26" s="16">
        <v>50</v>
      </c>
      <c r="E26" s="16">
        <v>35</v>
      </c>
      <c r="F26" s="15" t="s">
        <v>69</v>
      </c>
      <c r="G26" s="17"/>
      <c r="H26" s="2"/>
      <c r="I26" s="2"/>
      <c r="J26" s="2"/>
      <c r="K26" s="2"/>
      <c r="L26" s="7" t="str">
        <f t="shared" si="0"/>
        <v>Standard Price</v>
      </c>
      <c r="M26" s="2"/>
      <c r="N26" s="2"/>
      <c r="O26" s="2"/>
      <c r="P26" s="2"/>
      <c r="Q26" s="12" t="str">
        <f t="shared" si="1"/>
        <v>21</v>
      </c>
      <c r="R26" s="13" t="str">
        <f t="shared" si="2"/>
        <v>CA</v>
      </c>
      <c r="S26" s="14" t="str">
        <f t="shared" si="3"/>
        <v>AUG</v>
      </c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5">
      <c r="A27" s="2" t="s">
        <v>89</v>
      </c>
      <c r="B27" s="2" t="s">
        <v>32</v>
      </c>
      <c r="C27" s="2" t="s">
        <v>90</v>
      </c>
      <c r="D27" s="8">
        <v>800</v>
      </c>
      <c r="E27" s="8">
        <v>45</v>
      </c>
      <c r="F27" s="2" t="s">
        <v>22</v>
      </c>
      <c r="G27" s="2"/>
      <c r="H27" s="2"/>
      <c r="I27" s="2"/>
      <c r="J27" s="2"/>
      <c r="K27" s="2"/>
      <c r="L27" s="7" t="str">
        <f t="shared" si="0"/>
        <v>Higher Price</v>
      </c>
      <c r="M27" s="2"/>
      <c r="N27" s="2"/>
      <c r="O27" s="2"/>
      <c r="P27" s="2"/>
      <c r="Q27" s="12" t="str">
        <f t="shared" si="1"/>
        <v>29</v>
      </c>
      <c r="R27" s="13" t="str">
        <f t="shared" si="2"/>
        <v>CA</v>
      </c>
      <c r="S27" s="14" t="str">
        <f t="shared" si="3"/>
        <v>SEP</v>
      </c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5">
      <c r="A28" s="15" t="s">
        <v>91</v>
      </c>
      <c r="B28" s="15" t="s">
        <v>75</v>
      </c>
      <c r="C28" s="15" t="s">
        <v>92</v>
      </c>
      <c r="D28" s="16">
        <v>130</v>
      </c>
      <c r="E28" s="16">
        <v>25</v>
      </c>
      <c r="F28" s="15" t="s">
        <v>26</v>
      </c>
      <c r="G28" s="2"/>
      <c r="H28" s="2"/>
      <c r="I28" s="2"/>
      <c r="J28" s="2"/>
      <c r="K28" s="2"/>
      <c r="L28" s="7" t="str">
        <f t="shared" si="0"/>
        <v>Standard Price</v>
      </c>
      <c r="M28" s="2"/>
      <c r="N28" s="2"/>
      <c r="O28" s="2"/>
      <c r="P28" s="2"/>
      <c r="Q28" s="12" t="str">
        <f t="shared" si="1"/>
        <v>03</v>
      </c>
      <c r="R28" s="13" t="str">
        <f t="shared" si="2"/>
        <v>CA</v>
      </c>
      <c r="S28" s="14" t="str">
        <f t="shared" si="3"/>
        <v>JUN</v>
      </c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5">
      <c r="A29" s="2" t="s">
        <v>93</v>
      </c>
      <c r="B29" s="2" t="s">
        <v>48</v>
      </c>
      <c r="C29" s="2" t="s">
        <v>94</v>
      </c>
      <c r="D29" s="8">
        <v>400</v>
      </c>
      <c r="E29" s="8">
        <v>40</v>
      </c>
      <c r="F29" s="2" t="s">
        <v>30</v>
      </c>
      <c r="G29" s="2"/>
      <c r="H29" s="2"/>
      <c r="I29" s="2"/>
      <c r="J29" s="2"/>
      <c r="K29" s="2"/>
      <c r="L29" s="7" t="str">
        <f t="shared" si="0"/>
        <v>Standard Price</v>
      </c>
      <c r="M29" s="2"/>
      <c r="N29" s="2"/>
      <c r="O29" s="2"/>
      <c r="P29" s="2"/>
      <c r="Q29" s="12" t="str">
        <f t="shared" si="1"/>
        <v>11</v>
      </c>
      <c r="R29" s="13" t="str">
        <f t="shared" si="2"/>
        <v>CA</v>
      </c>
      <c r="S29" s="14" t="str">
        <f t="shared" si="3"/>
        <v>JUL</v>
      </c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5">
      <c r="A30" s="15" t="s">
        <v>64</v>
      </c>
      <c r="B30" s="15" t="s">
        <v>42</v>
      </c>
      <c r="C30" s="15" t="s">
        <v>65</v>
      </c>
      <c r="D30" s="16">
        <v>230</v>
      </c>
      <c r="E30" s="16">
        <v>20</v>
      </c>
      <c r="F30" s="15" t="s">
        <v>22</v>
      </c>
      <c r="G30" s="17"/>
      <c r="H30" s="2"/>
      <c r="I30" s="2"/>
      <c r="J30" s="2"/>
      <c r="K30" s="2"/>
      <c r="L30" s="7" t="str">
        <f t="shared" si="0"/>
        <v>Standard Price</v>
      </c>
      <c r="M30" s="2"/>
      <c r="N30" s="2"/>
      <c r="O30" s="2"/>
      <c r="P30" s="2"/>
      <c r="Q30" s="12" t="str">
        <f t="shared" si="1"/>
        <v>16</v>
      </c>
      <c r="R30" s="13" t="str">
        <f t="shared" si="2"/>
        <v>ES</v>
      </c>
      <c r="S30" s="14" t="str">
        <f t="shared" si="3"/>
        <v>APR</v>
      </c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5">
      <c r="A31" s="2" t="s">
        <v>95</v>
      </c>
      <c r="B31" s="2" t="s">
        <v>96</v>
      </c>
      <c r="C31" s="2" t="s">
        <v>97</v>
      </c>
      <c r="D31" s="8">
        <v>60</v>
      </c>
      <c r="E31" s="8">
        <v>30</v>
      </c>
      <c r="F31" s="2" t="s">
        <v>26</v>
      </c>
      <c r="G31" s="2"/>
      <c r="H31" s="2"/>
      <c r="I31" s="2"/>
      <c r="J31" s="2"/>
      <c r="K31" s="2"/>
      <c r="L31" s="7" t="str">
        <f t="shared" si="0"/>
        <v>Standard Price</v>
      </c>
      <c r="M31" s="2"/>
      <c r="N31" s="2"/>
      <c r="O31" s="2"/>
      <c r="P31" s="2"/>
      <c r="Q31" s="12" t="str">
        <f t="shared" si="1"/>
        <v>07</v>
      </c>
      <c r="R31" s="13" t="str">
        <f t="shared" si="2"/>
        <v>CA</v>
      </c>
      <c r="S31" s="14" t="str">
        <f t="shared" si="3"/>
        <v>MAR</v>
      </c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5">
      <c r="A32" s="15" t="s">
        <v>98</v>
      </c>
      <c r="B32" s="15" t="s">
        <v>99</v>
      </c>
      <c r="C32" s="15" t="s">
        <v>100</v>
      </c>
      <c r="D32" s="16">
        <v>40</v>
      </c>
      <c r="E32" s="16">
        <v>10</v>
      </c>
      <c r="F32" s="15" t="s">
        <v>30</v>
      </c>
      <c r="G32" s="2"/>
      <c r="H32" s="2"/>
      <c r="I32" s="2"/>
      <c r="J32" s="2"/>
      <c r="K32" s="2"/>
      <c r="L32" s="7" t="str">
        <f t="shared" si="0"/>
        <v>Standard Price</v>
      </c>
      <c r="M32" s="2"/>
      <c r="N32" s="2"/>
      <c r="O32" s="2"/>
      <c r="P32" s="2"/>
      <c r="Q32" s="12" t="str">
        <f t="shared" si="1"/>
        <v>13</v>
      </c>
      <c r="R32" s="13" t="str">
        <f t="shared" si="2"/>
        <v>CA</v>
      </c>
      <c r="S32" s="14" t="str">
        <f t="shared" si="3"/>
        <v>APR</v>
      </c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5">
      <c r="A33" s="2" t="s">
        <v>101</v>
      </c>
      <c r="B33" s="2" t="s">
        <v>87</v>
      </c>
      <c r="C33" s="2" t="s">
        <v>102</v>
      </c>
      <c r="D33" s="8">
        <v>130</v>
      </c>
      <c r="E33" s="8">
        <v>5</v>
      </c>
      <c r="F33" s="2" t="s">
        <v>22</v>
      </c>
      <c r="G33" s="2"/>
      <c r="H33" s="2"/>
      <c r="I33" s="2"/>
      <c r="J33" s="2"/>
      <c r="K33" s="2"/>
      <c r="L33" s="7" t="str">
        <f t="shared" si="0"/>
        <v>Standard Price</v>
      </c>
      <c r="M33" s="2"/>
      <c r="N33" s="2"/>
      <c r="O33" s="2"/>
      <c r="P33" s="2"/>
      <c r="Q33" s="12" t="str">
        <f t="shared" si="1"/>
        <v>24</v>
      </c>
      <c r="R33" s="13" t="str">
        <f t="shared" si="2"/>
        <v>CA</v>
      </c>
      <c r="S33" s="14" t="str">
        <f t="shared" si="3"/>
        <v>MAY</v>
      </c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5">
      <c r="A34" s="15" t="s">
        <v>103</v>
      </c>
      <c r="B34" s="15" t="s">
        <v>104</v>
      </c>
      <c r="C34" s="15" t="s">
        <v>105</v>
      </c>
      <c r="D34" s="16">
        <v>50</v>
      </c>
      <c r="E34" s="16">
        <v>50</v>
      </c>
      <c r="F34" s="15" t="s">
        <v>26</v>
      </c>
      <c r="G34" s="2"/>
      <c r="H34" s="2"/>
      <c r="I34" s="2"/>
      <c r="J34" s="2"/>
      <c r="K34" s="2"/>
      <c r="L34" s="7" t="str">
        <f t="shared" si="0"/>
        <v>Standard Price</v>
      </c>
      <c r="M34" s="2"/>
      <c r="N34" s="2"/>
      <c r="O34" s="2"/>
      <c r="P34" s="2"/>
      <c r="Q34" s="12" t="str">
        <f t="shared" si="1"/>
        <v>02</v>
      </c>
      <c r="R34" s="13" t="str">
        <f t="shared" si="2"/>
        <v>CA</v>
      </c>
      <c r="S34" s="14" t="str">
        <f t="shared" si="3"/>
        <v>DEC</v>
      </c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5">
      <c r="A35" s="2" t="s">
        <v>56</v>
      </c>
      <c r="B35" s="2" t="s">
        <v>20</v>
      </c>
      <c r="C35" s="2" t="s">
        <v>57</v>
      </c>
      <c r="D35" s="8">
        <v>950</v>
      </c>
      <c r="E35" s="8">
        <v>25</v>
      </c>
      <c r="F35" s="2" t="s">
        <v>22</v>
      </c>
      <c r="G35" s="2"/>
      <c r="H35" s="2"/>
      <c r="I35" s="2"/>
      <c r="J35" s="2"/>
      <c r="K35" s="2"/>
      <c r="L35" s="7" t="str">
        <f t="shared" si="0"/>
        <v>Higher Price</v>
      </c>
      <c r="M35" s="2"/>
      <c r="N35" s="2"/>
      <c r="O35" s="2"/>
      <c r="P35" s="2"/>
      <c r="Q35" s="12" t="str">
        <f t="shared" si="1"/>
        <v>17</v>
      </c>
      <c r="R35" s="13" t="str">
        <f t="shared" si="2"/>
        <v>IN</v>
      </c>
      <c r="S35" s="14" t="str">
        <f t="shared" si="3"/>
        <v>JUN</v>
      </c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5">
      <c r="A36" s="15" t="s">
        <v>106</v>
      </c>
      <c r="B36" s="15" t="s">
        <v>107</v>
      </c>
      <c r="C36" s="15" t="s">
        <v>108</v>
      </c>
      <c r="D36" s="16">
        <v>100</v>
      </c>
      <c r="E36" s="16">
        <v>20</v>
      </c>
      <c r="F36" s="15" t="s">
        <v>69</v>
      </c>
      <c r="G36" s="2"/>
      <c r="H36" s="2"/>
      <c r="I36" s="2"/>
      <c r="J36" s="2"/>
      <c r="K36" s="2"/>
      <c r="L36" s="18" t="str">
        <f t="shared" si="0"/>
        <v>Standard Price</v>
      </c>
      <c r="M36" s="2"/>
      <c r="N36" s="2"/>
      <c r="O36" s="2"/>
      <c r="P36" s="2"/>
      <c r="Q36" s="10" t="str">
        <f t="shared" si="1"/>
        <v>09</v>
      </c>
      <c r="R36" s="19" t="str">
        <f t="shared" si="2"/>
        <v>FR</v>
      </c>
      <c r="S36" s="11" t="str">
        <f t="shared" si="3"/>
        <v>JUL</v>
      </c>
      <c r="T36" s="2"/>
      <c r="U36" s="2"/>
      <c r="V36" s="2"/>
      <c r="W36" s="2"/>
      <c r="X36" s="2"/>
      <c r="Y36" s="2"/>
      <c r="Z36" s="2"/>
      <c r="AA36" s="2"/>
      <c r="AB36" s="2"/>
      <c r="AC36" s="2"/>
    </row>
  </sheetData>
  <mergeCells count="4">
    <mergeCell ref="Q1:S1"/>
    <mergeCell ref="N1:O1"/>
    <mergeCell ref="H6:J6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Teena k t</cp:lastModifiedBy>
  <dcterms:modified xsi:type="dcterms:W3CDTF">2026-10-04T12:17:42Z</dcterms:modified>
</cp:coreProperties>
</file>